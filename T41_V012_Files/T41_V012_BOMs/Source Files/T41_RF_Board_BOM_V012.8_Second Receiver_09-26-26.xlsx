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ll\Documents\GitHub\T41\T41_V012_Files\T41_V012_BOMs\Source Files\"/>
    </mc:Choice>
  </mc:AlternateContent>
  <xr:revisionPtr revIDLastSave="0" documentId="13_ncr:1_{A6C0E4E3-3BB0-4442-957A-D12AC2387F16}" xr6:coauthVersionLast="47" xr6:coauthVersionMax="47" xr10:uidLastSave="{00000000-0000-0000-0000-000000000000}"/>
  <bookViews>
    <workbookView xWindow="-108" yWindow="-108" windowWidth="23256" windowHeight="13896" tabRatio="743" xr2:uid="{00000000-000D-0000-FFFF-FFFF00000000}"/>
  </bookViews>
  <sheets>
    <sheet name="RF Board Second RX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4" i="9" l="1"/>
  <c r="H33" i="9"/>
  <c r="H36" i="9"/>
  <c r="H34" i="9"/>
  <c r="H35" i="9"/>
  <c r="H6" i="9"/>
  <c r="H5" i="9"/>
  <c r="A37" i="9"/>
  <c r="H30" i="9"/>
  <c r="H29" i="9"/>
  <c r="H32" i="9"/>
  <c r="H31" i="9"/>
  <c r="H28" i="9"/>
  <c r="H27" i="9"/>
  <c r="H26" i="9"/>
  <c r="H25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4" i="9"/>
  <c r="H3" i="9"/>
  <c r="H2" i="9"/>
  <c r="H37" i="9" l="1"/>
</calcChain>
</file>

<file path=xl/sharedStrings.xml><?xml version="1.0" encoding="utf-8"?>
<sst xmlns="http://schemas.openxmlformats.org/spreadsheetml/2006/main" count="128" uniqueCount="113">
  <si>
    <t>Qty</t>
  </si>
  <si>
    <t>Description</t>
  </si>
  <si>
    <t>Designator</t>
  </si>
  <si>
    <t>Mouser Part #</t>
  </si>
  <si>
    <t>Digikey Part #</t>
  </si>
  <si>
    <t>TaydaElectronics</t>
  </si>
  <si>
    <t>Price (USD)</t>
  </si>
  <si>
    <t>Ext.: (USD)</t>
  </si>
  <si>
    <t>10uF 50V SMD 1206 Capacitor</t>
  </si>
  <si>
    <t>80-C1206C106K4P</t>
  </si>
  <si>
    <t>1uF 50V SMD 1206 Capacitor</t>
  </si>
  <si>
    <t>C2, C9, C15, C24</t>
  </si>
  <si>
    <t>187-CL31B105KBHNNNE</t>
  </si>
  <si>
    <t>10nF 50V SMD 1206 Capacitor</t>
  </si>
  <si>
    <t>80-C1206C103K5R7210</t>
  </si>
  <si>
    <t>0.1uF 50V SMD 1206 Capacitor</t>
  </si>
  <si>
    <t>C1206C104K5RACTU</t>
  </si>
  <si>
    <t>470uF 25V Aluminum Electroylitic Cap</t>
  </si>
  <si>
    <t>C69</t>
  </si>
  <si>
    <t xml:space="preserve"> 667-ECA-1EM471</t>
  </si>
  <si>
    <t>490-SJ1-3515N</t>
  </si>
  <si>
    <t>712-CONSMA001-G</t>
  </si>
  <si>
    <t xml:space="preserve"> </t>
  </si>
  <si>
    <t>RFControl  - IDC 2x5 Box Male Index</t>
  </si>
  <si>
    <t>J3</t>
  </si>
  <si>
    <t>A-2939</t>
  </si>
  <si>
    <t>12-13.8V - Molex Terminal Block</t>
  </si>
  <si>
    <t>J4</t>
  </si>
  <si>
    <t>538-39880-4302</t>
  </si>
  <si>
    <t>AttenuatorBypass - IDC 1x2</t>
  </si>
  <si>
    <t>JP3, JP13</t>
  </si>
  <si>
    <t>A-4662/ A-5770</t>
  </si>
  <si>
    <t>PrescalarBypass - IDC 1x2</t>
  </si>
  <si>
    <t>JP18, JP19</t>
  </si>
  <si>
    <t>FB SMD 1206 600 Ohm 1A</t>
  </si>
  <si>
    <t>875-HZ1206E601R-10</t>
  </si>
  <si>
    <t xml:space="preserve">1.5uH SMD 1206 Inductor </t>
  </si>
  <si>
    <t>81-LQM31PN1R5M00L</t>
  </si>
  <si>
    <t>L11, L12, L13</t>
  </si>
  <si>
    <t>2K Ohm SMD 1206 Resistor</t>
  </si>
  <si>
    <t>R1, R13</t>
  </si>
  <si>
    <t>667-ERA-8AEB202V</t>
  </si>
  <si>
    <t>5.1K Ohm SMD 1206 Resistor</t>
  </si>
  <si>
    <t>R2, R3, R5, R6, R10, R11, R17, R18</t>
  </si>
  <si>
    <t>652-CR1206JW-512ELF</t>
  </si>
  <si>
    <t>100 Ohm SMD 1206 Resistor</t>
  </si>
  <si>
    <t>652-CR1206FX-1000ELF</t>
  </si>
  <si>
    <t>10K Ohm SMD 1206 Resistor</t>
  </si>
  <si>
    <t>652-CR1206JW-103ELF</t>
  </si>
  <si>
    <t>36.5 Ohm SMD 1206 Resistor</t>
  </si>
  <si>
    <t>R14</t>
  </si>
  <si>
    <t>71-CRCW120636.5-E3</t>
  </si>
  <si>
    <t>2.2K Ohm SMD 1206 Resistor</t>
  </si>
  <si>
    <t>71-CRCW12062K20JNEAC</t>
  </si>
  <si>
    <t>0 Ohm SMD 1206 Resistor</t>
  </si>
  <si>
    <t>TestPoint</t>
  </si>
  <si>
    <t>A-4662</t>
  </si>
  <si>
    <t>ADT1-1+</t>
  </si>
  <si>
    <t>TR1</t>
  </si>
  <si>
    <t>139-ADT1-1</t>
  </si>
  <si>
    <t>74CBTLV3253DR in SOIC-16</t>
  </si>
  <si>
    <t>595-74CBTLV3253DR</t>
  </si>
  <si>
    <t>296-9132-1-ND</t>
  </si>
  <si>
    <t>PSA-8A+</t>
  </si>
  <si>
    <t>U2</t>
  </si>
  <si>
    <t>139-PSA-8A</t>
  </si>
  <si>
    <t>U11</t>
  </si>
  <si>
    <t>LM7805CT</t>
  </si>
  <si>
    <t>U14</t>
  </si>
  <si>
    <t>926-LM7805CT</t>
  </si>
  <si>
    <t>LM1117T-3.3</t>
  </si>
  <si>
    <t>U15</t>
  </si>
  <si>
    <t>926-LM1117T-3.3/NOPB</t>
  </si>
  <si>
    <t>MCP23017_SO</t>
  </si>
  <si>
    <t>U21</t>
  </si>
  <si>
    <t>579-MCP23017-E/SO</t>
  </si>
  <si>
    <t>U12</t>
  </si>
  <si>
    <t>J1</t>
  </si>
  <si>
    <t>C4, C10, C17, C28</t>
  </si>
  <si>
    <t>U1</t>
  </si>
  <si>
    <t>R4, R8, R16, R22</t>
  </si>
  <si>
    <t>L4</t>
  </si>
  <si>
    <t>J2</t>
  </si>
  <si>
    <t>IQ_Out, 1/8" Stereo Jack</t>
  </si>
  <si>
    <t>RF_IN, SMA Female</t>
  </si>
  <si>
    <t>Heatsink for U14</t>
  </si>
  <si>
    <t>For U14</t>
  </si>
  <si>
    <t>C5, C21</t>
  </si>
  <si>
    <t>C8, C19</t>
  </si>
  <si>
    <t>105pF 50V SMD 1206 Capacitor</t>
  </si>
  <si>
    <t>180pF 50V SMD 1206 Capacitor</t>
  </si>
  <si>
    <t>791-1206B181K160CT</t>
  </si>
  <si>
    <t>581-12065C101KAT2A</t>
  </si>
  <si>
    <t>10uH 20% SMD 2424 Inductor</t>
  </si>
  <si>
    <t>70-IFSC2020DER100M01</t>
  </si>
  <si>
    <t>U106</t>
  </si>
  <si>
    <t>U107</t>
  </si>
  <si>
    <t>AD8599</t>
  </si>
  <si>
    <t>OPA2209</t>
  </si>
  <si>
    <t>595-OPA2209AIDR</t>
  </si>
  <si>
    <t>584-AD8599ARZ-R</t>
  </si>
  <si>
    <t>Oscillator Module, premade</t>
  </si>
  <si>
    <t>From K9HZ</t>
  </si>
  <si>
    <t>L1, L2, L3, L6</t>
  </si>
  <si>
    <t>TP1, TP2, TP3, TP4, TP5, TP6, TP17, TP18</t>
  </si>
  <si>
    <t>Attenuator Module, premade</t>
  </si>
  <si>
    <t>603-RC1206FR-130RL</t>
  </si>
  <si>
    <t>R40, R42, R64, R65</t>
  </si>
  <si>
    <t>Various</t>
  </si>
  <si>
    <t>R7, R9, R12, R15, R19, R20, R21, R23</t>
  </si>
  <si>
    <t>C1, C3, C11, C12, C14, C32, C67, C71</t>
  </si>
  <si>
    <t>C6, C7, C13, C16, C18, C20, C22, C23, C25, C26, C27,  C29, C68, C70, C72, C73</t>
  </si>
  <si>
    <t>R49, R51, R60, R61, R62, R63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</si>
</sst>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\$* #,##0.00_);_(\$* \(#,##0.00\);_(\$* \-??_);_(@_)"/>
  </numFmts>
  <fonts count="5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164" fontId="2" fillId="0" borderId="0" applyBorder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16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2" fillId="0" borderId="0" xfId="1" applyBorder="1" applyAlignment="1" applyProtection="1">
      <alignment horizontal="center"/>
    </xf>
    <xf numFmtId="0" fontId="3" fillId="0" borderId="0" xfId="0" applyFont="1"/>
    <xf numFmtId="0" fontId="4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E45E9-B5A9-4ABA-AD41-BAFC0DD9FF54}">
  <sheetPr>
    <pageSetUpPr fitToPage="1"/>
  </sheetPr>
  <dimension ref="A1:P37"/>
  <sheetViews>
    <sheetView tabSelected="1" workbookViewId="0">
      <selection activeCell="H23" sqref="H23"/>
    </sheetView>
  </sheetViews>
  <sheetFormatPr defaultColWidth="8.5546875" defaultRowHeight="14.4" x14ac:dyDescent="0.3"/>
  <cols>
    <col min="1" max="1" width="8.77734375" style="1" customWidth="1"/>
    <col min="2" max="2" width="32.44140625" customWidth="1"/>
    <col min="3" max="3" width="44.77734375" style="2" customWidth="1"/>
    <col min="4" max="4" width="23.77734375" customWidth="1"/>
    <col min="5" max="5" width="18.109375" customWidth="1"/>
    <col min="6" max="6" width="15.77734375" customWidth="1"/>
    <col min="7" max="7" width="10.109375" customWidth="1"/>
  </cols>
  <sheetData>
    <row r="1" spans="1:8" x14ac:dyDescent="0.3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1">
        <v>8</v>
      </c>
      <c r="B2" t="s">
        <v>8</v>
      </c>
      <c r="C2" s="2" t="s">
        <v>110</v>
      </c>
      <c r="D2" t="s">
        <v>9</v>
      </c>
      <c r="G2" s="5">
        <v>0.13900000000000001</v>
      </c>
      <c r="H2" s="5">
        <f t="shared" ref="H2:H36" si="0">G2*A2</f>
        <v>1.1120000000000001</v>
      </c>
    </row>
    <row r="3" spans="1:8" x14ac:dyDescent="0.3">
      <c r="A3" s="1">
        <v>4</v>
      </c>
      <c r="B3" t="s">
        <v>10</v>
      </c>
      <c r="C3" s="2" t="s">
        <v>11</v>
      </c>
      <c r="D3" t="s">
        <v>12</v>
      </c>
      <c r="G3" s="5">
        <v>0.15</v>
      </c>
      <c r="H3" s="5">
        <f t="shared" si="0"/>
        <v>0.6</v>
      </c>
    </row>
    <row r="4" spans="1:8" x14ac:dyDescent="0.3">
      <c r="A4" s="1">
        <v>4</v>
      </c>
      <c r="B4" t="s">
        <v>13</v>
      </c>
      <c r="C4" s="2" t="s">
        <v>78</v>
      </c>
      <c r="D4" t="s">
        <v>14</v>
      </c>
      <c r="G4" s="5">
        <v>0.1</v>
      </c>
      <c r="H4" s="5">
        <f t="shared" si="0"/>
        <v>0.4</v>
      </c>
    </row>
    <row r="5" spans="1:8" x14ac:dyDescent="0.3">
      <c r="A5" s="1">
        <v>2</v>
      </c>
      <c r="B5" t="s">
        <v>89</v>
      </c>
      <c r="C5" s="2" t="s">
        <v>87</v>
      </c>
      <c r="D5" t="s">
        <v>92</v>
      </c>
      <c r="G5" s="5">
        <v>0.17</v>
      </c>
      <c r="H5" s="5">
        <f t="shared" si="0"/>
        <v>0.34</v>
      </c>
    </row>
    <row r="6" spans="1:8" x14ac:dyDescent="0.3">
      <c r="A6" s="1">
        <v>2</v>
      </c>
      <c r="B6" t="s">
        <v>90</v>
      </c>
      <c r="C6" s="2" t="s">
        <v>88</v>
      </c>
      <c r="D6" t="s">
        <v>91</v>
      </c>
      <c r="G6" s="5">
        <v>0.17</v>
      </c>
      <c r="H6" s="5">
        <f t="shared" si="0"/>
        <v>0.34</v>
      </c>
    </row>
    <row r="7" spans="1:8" ht="28.8" x14ac:dyDescent="0.3">
      <c r="A7" s="1">
        <v>16</v>
      </c>
      <c r="B7" t="s">
        <v>15</v>
      </c>
      <c r="C7" s="2" t="s">
        <v>111</v>
      </c>
      <c r="D7" t="s">
        <v>16</v>
      </c>
      <c r="G7" s="5">
        <v>5.3999999999999999E-2</v>
      </c>
      <c r="H7" s="5">
        <f t="shared" si="0"/>
        <v>0.86399999999999999</v>
      </c>
    </row>
    <row r="8" spans="1:8" x14ac:dyDescent="0.3">
      <c r="A8" s="1">
        <v>1</v>
      </c>
      <c r="B8" t="s">
        <v>17</v>
      </c>
      <c r="C8" s="2" t="s">
        <v>18</v>
      </c>
      <c r="D8" t="s">
        <v>19</v>
      </c>
      <c r="G8" s="5">
        <v>0.39</v>
      </c>
      <c r="H8" s="5">
        <f t="shared" si="0"/>
        <v>0.39</v>
      </c>
    </row>
    <row r="9" spans="1:8" x14ac:dyDescent="0.3">
      <c r="A9" s="1">
        <v>1</v>
      </c>
      <c r="B9" t="s">
        <v>83</v>
      </c>
      <c r="C9" s="2" t="s">
        <v>77</v>
      </c>
      <c r="D9" t="s">
        <v>20</v>
      </c>
      <c r="G9" s="5">
        <v>1.41</v>
      </c>
      <c r="H9" s="5">
        <f t="shared" si="0"/>
        <v>1.41</v>
      </c>
    </row>
    <row r="10" spans="1:8" x14ac:dyDescent="0.3">
      <c r="A10" s="1">
        <v>1</v>
      </c>
      <c r="B10" t="s">
        <v>84</v>
      </c>
      <c r="C10" s="2" t="s">
        <v>82</v>
      </c>
      <c r="D10" t="s">
        <v>21</v>
      </c>
      <c r="G10" s="5">
        <v>3.35</v>
      </c>
      <c r="H10" s="5">
        <f t="shared" si="0"/>
        <v>3.35</v>
      </c>
    </row>
    <row r="11" spans="1:8" x14ac:dyDescent="0.3">
      <c r="A11" s="1">
        <v>1</v>
      </c>
      <c r="B11" t="s">
        <v>23</v>
      </c>
      <c r="C11" s="2" t="s">
        <v>24</v>
      </c>
      <c r="F11" t="s">
        <v>25</v>
      </c>
      <c r="G11" s="5">
        <v>0.14000000000000001</v>
      </c>
      <c r="H11" s="5">
        <f t="shared" si="0"/>
        <v>0.14000000000000001</v>
      </c>
    </row>
    <row r="12" spans="1:8" x14ac:dyDescent="0.3">
      <c r="A12" s="1">
        <v>1</v>
      </c>
      <c r="B12" t="s">
        <v>26</v>
      </c>
      <c r="C12" s="2" t="s">
        <v>27</v>
      </c>
      <c r="D12" t="s">
        <v>28</v>
      </c>
      <c r="G12" s="5">
        <v>1.1200000000000001</v>
      </c>
      <c r="H12" s="5">
        <f t="shared" si="0"/>
        <v>1.1200000000000001</v>
      </c>
    </row>
    <row r="13" spans="1:8" x14ac:dyDescent="0.3">
      <c r="A13" s="1">
        <v>2</v>
      </c>
      <c r="B13" t="s">
        <v>29</v>
      </c>
      <c r="C13" s="2" t="s">
        <v>30</v>
      </c>
      <c r="F13" t="s">
        <v>31</v>
      </c>
      <c r="G13" s="5">
        <v>0.02</v>
      </c>
      <c r="H13" s="5">
        <f t="shared" si="0"/>
        <v>0.04</v>
      </c>
    </row>
    <row r="14" spans="1:8" x14ac:dyDescent="0.3">
      <c r="A14" s="1">
        <v>2</v>
      </c>
      <c r="B14" t="s">
        <v>32</v>
      </c>
      <c r="C14" s="2" t="s">
        <v>33</v>
      </c>
      <c r="F14" t="s">
        <v>31</v>
      </c>
      <c r="G14" s="5">
        <v>0.02</v>
      </c>
      <c r="H14" s="5">
        <f t="shared" si="0"/>
        <v>0.04</v>
      </c>
    </row>
    <row r="15" spans="1:8" x14ac:dyDescent="0.3">
      <c r="A15" s="1">
        <v>4</v>
      </c>
      <c r="B15" t="s">
        <v>34</v>
      </c>
      <c r="C15" s="2" t="s">
        <v>103</v>
      </c>
      <c r="D15" t="s">
        <v>35</v>
      </c>
      <c r="G15" s="5">
        <v>0.14000000000000001</v>
      </c>
      <c r="H15" s="5">
        <f t="shared" si="0"/>
        <v>0.56000000000000005</v>
      </c>
    </row>
    <row r="16" spans="1:8" x14ac:dyDescent="0.3">
      <c r="A16" s="1">
        <v>1</v>
      </c>
      <c r="B16" t="s">
        <v>36</v>
      </c>
      <c r="C16" s="2" t="s">
        <v>81</v>
      </c>
      <c r="D16" t="s">
        <v>37</v>
      </c>
      <c r="G16" s="5">
        <v>0.35</v>
      </c>
      <c r="H16" s="5">
        <f t="shared" si="0"/>
        <v>0.35</v>
      </c>
    </row>
    <row r="17" spans="1:16" x14ac:dyDescent="0.3">
      <c r="A17" s="1">
        <v>3</v>
      </c>
      <c r="B17" t="s">
        <v>93</v>
      </c>
      <c r="C17" s="2" t="s">
        <v>38</v>
      </c>
      <c r="D17" t="s">
        <v>94</v>
      </c>
      <c r="G17" s="5">
        <v>0.47</v>
      </c>
      <c r="H17" s="5">
        <f t="shared" si="0"/>
        <v>1.41</v>
      </c>
    </row>
    <row r="18" spans="1:16" x14ac:dyDescent="0.3">
      <c r="A18" s="1">
        <v>2</v>
      </c>
      <c r="B18" t="s">
        <v>39</v>
      </c>
      <c r="C18" s="2" t="s">
        <v>40</v>
      </c>
      <c r="D18" t="s">
        <v>41</v>
      </c>
      <c r="G18" s="5">
        <v>0.59</v>
      </c>
      <c r="H18" s="5">
        <f t="shared" si="0"/>
        <v>1.18</v>
      </c>
    </row>
    <row r="19" spans="1:16" x14ac:dyDescent="0.3">
      <c r="A19" s="1">
        <v>8</v>
      </c>
      <c r="B19" t="s">
        <v>42</v>
      </c>
      <c r="C19" s="2" t="s">
        <v>43</v>
      </c>
      <c r="D19" t="s">
        <v>44</v>
      </c>
      <c r="G19" s="5">
        <v>0.1</v>
      </c>
      <c r="H19" s="5">
        <f t="shared" si="0"/>
        <v>0.8</v>
      </c>
    </row>
    <row r="20" spans="1:16" x14ac:dyDescent="0.3">
      <c r="A20" s="1">
        <v>4</v>
      </c>
      <c r="B20" t="s">
        <v>45</v>
      </c>
      <c r="C20" s="2" t="s">
        <v>80</v>
      </c>
      <c r="D20" t="s">
        <v>46</v>
      </c>
      <c r="G20" s="5">
        <v>0.1</v>
      </c>
      <c r="H20" s="5">
        <f t="shared" si="0"/>
        <v>0.4</v>
      </c>
    </row>
    <row r="21" spans="1:16" x14ac:dyDescent="0.3">
      <c r="A21" s="1">
        <v>8</v>
      </c>
      <c r="B21" t="s">
        <v>47</v>
      </c>
      <c r="C21" s="2" t="s">
        <v>109</v>
      </c>
      <c r="D21" t="s">
        <v>48</v>
      </c>
      <c r="G21" s="5">
        <v>1.7000000000000001E-2</v>
      </c>
      <c r="H21" s="5">
        <f t="shared" si="0"/>
        <v>0.13600000000000001</v>
      </c>
    </row>
    <row r="22" spans="1:16" x14ac:dyDescent="0.3">
      <c r="A22" s="1">
        <v>1</v>
      </c>
      <c r="B22" t="s">
        <v>49</v>
      </c>
      <c r="C22" s="2" t="s">
        <v>50</v>
      </c>
      <c r="D22" t="s">
        <v>51</v>
      </c>
      <c r="G22" s="5">
        <v>0.1</v>
      </c>
      <c r="H22" s="5">
        <f t="shared" si="0"/>
        <v>0.1</v>
      </c>
    </row>
    <row r="23" spans="1:16" x14ac:dyDescent="0.3">
      <c r="A23" s="1">
        <v>4</v>
      </c>
      <c r="B23" t="s">
        <v>54</v>
      </c>
      <c r="C23" s="2" t="s">
        <v>107</v>
      </c>
      <c r="D23" t="s">
        <v>106</v>
      </c>
      <c r="G23" s="5">
        <v>2.1000000000000001E-2</v>
      </c>
      <c r="H23" s="5">
        <f t="shared" si="0"/>
        <v>8.4000000000000005E-2</v>
      </c>
    </row>
    <row r="24" spans="1:16" x14ac:dyDescent="0.3">
      <c r="A24" s="1">
        <v>6</v>
      </c>
      <c r="B24" t="s">
        <v>52</v>
      </c>
      <c r="C24" s="2" t="s">
        <v>112</v>
      </c>
      <c r="D24" t="s">
        <v>53</v>
      </c>
      <c r="G24" s="5">
        <v>3.5999999999999997E-2</v>
      </c>
      <c r="H24" s="5">
        <f t="shared" si="0"/>
        <v>0.21599999999999997</v>
      </c>
      <c r="I24" t="s">
        <v>22</v>
      </c>
      <c r="J24" t="s">
        <v>22</v>
      </c>
      <c r="K24" t="s">
        <v>22</v>
      </c>
      <c r="L24" t="s">
        <v>22</v>
      </c>
      <c r="M24" t="s">
        <v>22</v>
      </c>
      <c r="N24" t="s">
        <v>22</v>
      </c>
      <c r="O24" t="s">
        <v>22</v>
      </c>
      <c r="P24" t="s">
        <v>22</v>
      </c>
    </row>
    <row r="25" spans="1:16" x14ac:dyDescent="0.3">
      <c r="A25" s="1">
        <v>8</v>
      </c>
      <c r="B25" t="s">
        <v>55</v>
      </c>
      <c r="C25" s="2" t="s">
        <v>104</v>
      </c>
      <c r="F25" t="s">
        <v>56</v>
      </c>
      <c r="G25" s="5">
        <v>2.8000000000000001E-2</v>
      </c>
      <c r="H25" s="5">
        <f t="shared" si="0"/>
        <v>0.224</v>
      </c>
    </row>
    <row r="26" spans="1:16" x14ac:dyDescent="0.3">
      <c r="A26" s="1">
        <v>1</v>
      </c>
      <c r="B26" t="s">
        <v>57</v>
      </c>
      <c r="C26" s="2" t="s">
        <v>58</v>
      </c>
      <c r="D26" t="s">
        <v>59</v>
      </c>
      <c r="G26" s="5">
        <v>4.0199999999999996</v>
      </c>
      <c r="H26" s="5">
        <f t="shared" si="0"/>
        <v>4.0199999999999996</v>
      </c>
    </row>
    <row r="27" spans="1:16" x14ac:dyDescent="0.3">
      <c r="A27" s="1">
        <v>1</v>
      </c>
      <c r="B27" t="s">
        <v>60</v>
      </c>
      <c r="C27" s="2" t="s">
        <v>79</v>
      </c>
      <c r="D27" t="s">
        <v>61</v>
      </c>
      <c r="E27" t="s">
        <v>62</v>
      </c>
      <c r="G27" s="5">
        <v>0.85</v>
      </c>
      <c r="H27" s="5">
        <f t="shared" si="0"/>
        <v>0.85</v>
      </c>
    </row>
    <row r="28" spans="1:16" x14ac:dyDescent="0.3">
      <c r="A28" s="1">
        <v>1</v>
      </c>
      <c r="B28" t="s">
        <v>63</v>
      </c>
      <c r="C28" s="2" t="s">
        <v>64</v>
      </c>
      <c r="D28" t="s">
        <v>65</v>
      </c>
      <c r="G28" s="5">
        <v>3.6</v>
      </c>
      <c r="H28" s="5">
        <f t="shared" si="0"/>
        <v>3.6</v>
      </c>
    </row>
    <row r="29" spans="1:16" ht="15.6" x14ac:dyDescent="0.3">
      <c r="A29" s="1">
        <v>1</v>
      </c>
      <c r="B29" s="10" t="s">
        <v>105</v>
      </c>
      <c r="C29" s="2" t="s">
        <v>66</v>
      </c>
      <c r="D29" s="9"/>
      <c r="F29" t="s">
        <v>102</v>
      </c>
      <c r="G29" s="5">
        <v>5.84</v>
      </c>
      <c r="H29" s="5">
        <f>G29*A29</f>
        <v>5.84</v>
      </c>
    </row>
    <row r="30" spans="1:16" ht="15.6" x14ac:dyDescent="0.3">
      <c r="A30" s="1">
        <v>1</v>
      </c>
      <c r="B30" s="10" t="s">
        <v>101</v>
      </c>
      <c r="C30" s="2" t="s">
        <v>76</v>
      </c>
      <c r="D30" s="9"/>
      <c r="F30" t="s">
        <v>102</v>
      </c>
      <c r="G30" s="5">
        <v>11.74</v>
      </c>
      <c r="H30" s="7">
        <f>G30*A30</f>
        <v>11.74</v>
      </c>
    </row>
    <row r="31" spans="1:16" x14ac:dyDescent="0.3">
      <c r="A31" s="1">
        <v>1</v>
      </c>
      <c r="B31" t="s">
        <v>67</v>
      </c>
      <c r="C31" s="2" t="s">
        <v>68</v>
      </c>
      <c r="D31" t="s">
        <v>69</v>
      </c>
      <c r="G31" s="5">
        <v>2.46</v>
      </c>
      <c r="H31" s="5">
        <f t="shared" si="0"/>
        <v>2.46</v>
      </c>
    </row>
    <row r="32" spans="1:16" x14ac:dyDescent="0.3">
      <c r="A32" s="1">
        <v>1</v>
      </c>
      <c r="B32" t="s">
        <v>70</v>
      </c>
      <c r="C32" s="2" t="s">
        <v>71</v>
      </c>
      <c r="D32" t="s">
        <v>72</v>
      </c>
      <c r="G32" s="5">
        <v>1.69</v>
      </c>
      <c r="H32" s="5">
        <f t="shared" si="0"/>
        <v>1.69</v>
      </c>
    </row>
    <row r="33" spans="1:13" x14ac:dyDescent="0.3">
      <c r="A33" s="1">
        <v>1</v>
      </c>
      <c r="B33" t="s">
        <v>73</v>
      </c>
      <c r="C33" s="2" t="s">
        <v>74</v>
      </c>
      <c r="D33" t="s">
        <v>75</v>
      </c>
      <c r="G33" s="5">
        <v>1.42</v>
      </c>
      <c r="H33" s="5">
        <f t="shared" si="0"/>
        <v>1.42</v>
      </c>
      <c r="I33" t="s">
        <v>22</v>
      </c>
      <c r="J33" t="s">
        <v>22</v>
      </c>
      <c r="K33" t="s">
        <v>22</v>
      </c>
      <c r="L33" t="s">
        <v>22</v>
      </c>
      <c r="M33" t="s">
        <v>22</v>
      </c>
    </row>
    <row r="34" spans="1:13" x14ac:dyDescent="0.3">
      <c r="A34" s="1">
        <v>1</v>
      </c>
      <c r="B34" t="s">
        <v>97</v>
      </c>
      <c r="C34" s="2" t="s">
        <v>95</v>
      </c>
      <c r="D34" t="s">
        <v>100</v>
      </c>
      <c r="G34" s="5">
        <v>9.9600000000000009</v>
      </c>
      <c r="H34" s="5">
        <f t="shared" si="0"/>
        <v>9.9600000000000009</v>
      </c>
    </row>
    <row r="35" spans="1:13" x14ac:dyDescent="0.3">
      <c r="A35" s="1">
        <v>1</v>
      </c>
      <c r="B35" t="s">
        <v>98</v>
      </c>
      <c r="C35" s="2" t="s">
        <v>96</v>
      </c>
      <c r="D35" t="s">
        <v>99</v>
      </c>
      <c r="G35" s="5">
        <v>4</v>
      </c>
      <c r="H35" s="5">
        <f t="shared" si="0"/>
        <v>4</v>
      </c>
    </row>
    <row r="36" spans="1:13" ht="15.6" x14ac:dyDescent="0.3">
      <c r="A36" s="6">
        <v>1</v>
      </c>
      <c r="B36" s="10" t="s">
        <v>85</v>
      </c>
      <c r="C36" s="2" t="s">
        <v>86</v>
      </c>
      <c r="D36" s="9" t="s">
        <v>22</v>
      </c>
      <c r="F36" t="s">
        <v>108</v>
      </c>
      <c r="G36" s="5">
        <v>0.7</v>
      </c>
      <c r="H36" s="5">
        <f t="shared" si="0"/>
        <v>0.7</v>
      </c>
    </row>
    <row r="37" spans="1:13" x14ac:dyDescent="0.3">
      <c r="A37" s="1">
        <f>SUM(A2:A36)</f>
        <v>105</v>
      </c>
      <c r="G37" s="1"/>
      <c r="H37" s="8">
        <f>SUM(H2:H36)</f>
        <v>61.886000000000003</v>
      </c>
    </row>
  </sheetData>
  <pageMargins left="0.7" right="0.7" top="0.75" bottom="0.75" header="0.3" footer="0.3"/>
  <pageSetup paperSize="5" scale="90" fitToWidth="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 Board Second 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William Schmidt</dc:creator>
  <dc:description/>
  <cp:lastModifiedBy>William Schmidt</cp:lastModifiedBy>
  <cp:revision>1</cp:revision>
  <cp:lastPrinted>2026-09-27T01:09:10Z</cp:lastPrinted>
  <dcterms:created xsi:type="dcterms:W3CDTF">2024-01-03T00:05:56Z</dcterms:created>
  <dcterms:modified xsi:type="dcterms:W3CDTF">2026-09-27T01:09:47Z</dcterms:modified>
  <dc:language>en-US</dc:language>
</cp:coreProperties>
</file>