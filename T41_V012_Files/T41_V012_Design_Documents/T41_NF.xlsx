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ill\Documents\GitHub\T41\T41_V012_Files\T41_V012_Design_Documents\"/>
    </mc:Choice>
  </mc:AlternateContent>
  <xr:revisionPtr revIDLastSave="0" documentId="8_{C4CB29D8-F79D-4C84-B952-A79AF92C4CC7}" xr6:coauthVersionLast="47" xr6:coauthVersionMax="47" xr10:uidLastSave="{00000000-0000-0000-0000-000000000000}"/>
  <bookViews>
    <workbookView xWindow="-108" yWindow="-108" windowWidth="23256" windowHeight="13896" activeTab="1" xr2:uid="{AF1C5222-637D-463D-A815-4D77070D4F2B}"/>
  </bookViews>
  <sheets>
    <sheet name="7&quot; Display; no shield" sheetId="1" r:id="rId1"/>
    <sheet name="5&quot; Display with shield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2" i="2" l="1"/>
  <c r="K11" i="2"/>
  <c r="K10" i="2"/>
  <c r="K9" i="2"/>
  <c r="K8" i="2"/>
  <c r="K7" i="2"/>
  <c r="K6" i="2"/>
  <c r="K5" i="2"/>
  <c r="K4" i="2"/>
  <c r="K12" i="1"/>
  <c r="K11" i="1"/>
  <c r="K10" i="1"/>
  <c r="K9" i="1"/>
  <c r="K8" i="1"/>
  <c r="K7" i="1"/>
  <c r="K6" i="1"/>
  <c r="K5" i="1"/>
  <c r="K4" i="1"/>
  <c r="E11" i="2"/>
  <c r="E10" i="2"/>
  <c r="E9" i="2"/>
  <c r="E8" i="2"/>
  <c r="E7" i="2"/>
  <c r="E6" i="2"/>
  <c r="E5" i="2"/>
  <c r="E4" i="2"/>
  <c r="E10" i="1"/>
  <c r="E9" i="1"/>
  <c r="E8" i="1"/>
  <c r="E7" i="1"/>
  <c r="E6" i="1"/>
  <c r="E5" i="1"/>
  <c r="E4" i="1"/>
  <c r="E11" i="1"/>
</calcChain>
</file>

<file path=xl/sharedStrings.xml><?xml version="1.0" encoding="utf-8"?>
<sst xmlns="http://schemas.openxmlformats.org/spreadsheetml/2006/main" count="56" uniqueCount="22">
  <si>
    <t>Noise level from my receive antenna</t>
  </si>
  <si>
    <t>(uVolt)</t>
  </si>
  <si>
    <t>(MHz)</t>
  </si>
  <si>
    <t>Level of Atmospheric noise above Rx noise floor</t>
  </si>
  <si>
    <t>(dB)</t>
  </si>
  <si>
    <t>Lowest useable Rx NF</t>
  </si>
  <si>
    <t>Signal level equal to received atmospheric noise level</t>
  </si>
  <si>
    <t>Notes:</t>
  </si>
  <si>
    <t>2. CW mode</t>
  </si>
  <si>
    <t>3. Receiver is KWM-380</t>
  </si>
  <si>
    <t>4. Antenna is 43 ft vertical matched on each band to 4:1 or better</t>
  </si>
  <si>
    <t>5. Receive noise measured in the daytime</t>
  </si>
  <si>
    <t>1. Receive BW = 300 Hz. Conversion to 1 Hz BW is 25 dB</t>
  </si>
  <si>
    <t>(-dBm)</t>
  </si>
  <si>
    <t>T41 Sensitivity and NF</t>
  </si>
  <si>
    <t>3. Receiver is T41; Main and RF boards</t>
  </si>
  <si>
    <t>Band</t>
  </si>
  <si>
    <t>Signal level for 10 dB (S+N)/N</t>
  </si>
  <si>
    <t>(dBm)</t>
  </si>
  <si>
    <t xml:space="preserve">NF </t>
  </si>
  <si>
    <t>1. Receive BW = ~500Hz. Conversion to 1 Hz is 27 dB</t>
  </si>
  <si>
    <t>5. Received noise measured in the daytime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</si>
</sst>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 wrapText="1"/>
    </xf>
    <xf numFmtId="0" fontId="0" fillId="0" borderId="1" xfId="0" applyBorder="1"/>
    <xf numFmtId="164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1" xfId="0" applyBorder="1" applyAlignment="1">
      <alignment horizontal="center" wrapText="1"/>
    </xf>
    <xf numFmtId="164" fontId="0" fillId="0" borderId="1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2" fontId="0" fillId="0" borderId="2" xfId="0" applyNumberFormat="1" applyBorder="1"/>
    <xf numFmtId="2" fontId="0" fillId="0" borderId="0" xfId="0" applyNumberFormat="1"/>
    <xf numFmtId="164" fontId="0" fillId="0" borderId="0" xfId="0" applyNumberFormat="1"/>
    <xf numFmtId="164" fontId="0" fillId="0" borderId="1" xfId="0" applyNumberFormat="1" applyBorder="1"/>
    <xf numFmtId="0" fontId="0" fillId="0" borderId="2" xfId="0" applyBorder="1"/>
    <xf numFmtId="165" fontId="0" fillId="0" borderId="0" xfId="0" applyNumberFormat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Useable NF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'7" Display; no shield'!$H$4:$H$12</c:f>
              <c:numCache>
                <c:formatCode>0.00</c:formatCode>
                <c:ptCount val="9"/>
                <c:pt idx="0">
                  <c:v>3.69</c:v>
                </c:pt>
                <c:pt idx="1">
                  <c:v>7.09</c:v>
                </c:pt>
                <c:pt idx="2">
                  <c:v>10.119999999999999</c:v>
                </c:pt>
                <c:pt idx="3">
                  <c:v>14.03</c:v>
                </c:pt>
                <c:pt idx="4">
                  <c:v>18.128</c:v>
                </c:pt>
                <c:pt idx="5">
                  <c:v>21.285</c:v>
                </c:pt>
                <c:pt idx="6">
                  <c:v>24.95</c:v>
                </c:pt>
                <c:pt idx="7">
                  <c:v>28.364999999999998</c:v>
                </c:pt>
                <c:pt idx="8">
                  <c:v>50.3</c:v>
                </c:pt>
              </c:numCache>
            </c:numRef>
          </c:cat>
          <c:val>
            <c:numRef>
              <c:f>'7" Display; no shield'!$E$4:$E$11</c:f>
              <c:numCache>
                <c:formatCode>0.0</c:formatCode>
                <c:ptCount val="8"/>
                <c:pt idx="0">
                  <c:v>40</c:v>
                </c:pt>
                <c:pt idx="1">
                  <c:v>39</c:v>
                </c:pt>
                <c:pt idx="2">
                  <c:v>40</c:v>
                </c:pt>
                <c:pt idx="3">
                  <c:v>31</c:v>
                </c:pt>
                <c:pt idx="4">
                  <c:v>30.5</c:v>
                </c:pt>
                <c:pt idx="5">
                  <c:v>26.5</c:v>
                </c:pt>
                <c:pt idx="6">
                  <c:v>16</c:v>
                </c:pt>
                <c:pt idx="7">
                  <c:v>11.5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A9C-4D12-9982-F737BFA47265}"/>
            </c:ext>
          </c:extLst>
        </c:ser>
        <c:ser>
          <c:idx val="1"/>
          <c:order val="1"/>
          <c:tx>
            <c:v>T41 NF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'7" Display; no shield'!$H$4:$H$12</c:f>
              <c:numCache>
                <c:formatCode>0.00</c:formatCode>
                <c:ptCount val="9"/>
                <c:pt idx="0">
                  <c:v>3.69</c:v>
                </c:pt>
                <c:pt idx="1">
                  <c:v>7.09</c:v>
                </c:pt>
                <c:pt idx="2">
                  <c:v>10.119999999999999</c:v>
                </c:pt>
                <c:pt idx="3">
                  <c:v>14.03</c:v>
                </c:pt>
                <c:pt idx="4">
                  <c:v>18.128</c:v>
                </c:pt>
                <c:pt idx="5">
                  <c:v>21.285</c:v>
                </c:pt>
                <c:pt idx="6">
                  <c:v>24.95</c:v>
                </c:pt>
                <c:pt idx="7">
                  <c:v>28.364999999999998</c:v>
                </c:pt>
                <c:pt idx="8">
                  <c:v>50.3</c:v>
                </c:pt>
              </c:numCache>
            </c:numRef>
          </c:cat>
          <c:val>
            <c:numRef>
              <c:f>'7" Display; no shield'!$K$4:$K$12</c:f>
              <c:numCache>
                <c:formatCode>0.0</c:formatCode>
                <c:ptCount val="9"/>
                <c:pt idx="0">
                  <c:v>6</c:v>
                </c:pt>
                <c:pt idx="1">
                  <c:v>12.5</c:v>
                </c:pt>
                <c:pt idx="2">
                  <c:v>10.5</c:v>
                </c:pt>
                <c:pt idx="3">
                  <c:v>12</c:v>
                </c:pt>
                <c:pt idx="4">
                  <c:v>8</c:v>
                </c:pt>
                <c:pt idx="5">
                  <c:v>8</c:v>
                </c:pt>
                <c:pt idx="6">
                  <c:v>24.5</c:v>
                </c:pt>
                <c:pt idx="7">
                  <c:v>26.5</c:v>
                </c:pt>
                <c:pt idx="8">
                  <c:v>38.5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A9C-4D12-9982-F737BFA472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60680079"/>
        <c:axId val="360684399"/>
      </c:lineChart>
      <c:catAx>
        <c:axId val="360680079"/>
        <c:scaling>
          <c:orientation val="minMax"/>
        </c:scaling>
        <c:delete val="0"/>
        <c:axPos val="b"/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0684399"/>
        <c:crosses val="autoZero"/>
        <c:auto val="1"/>
        <c:lblAlgn val="ctr"/>
        <c:lblOffset val="100"/>
        <c:noMultiLvlLbl val="0"/>
      </c:catAx>
      <c:valAx>
        <c:axId val="360684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06800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'5" Display with shield'!$H$4:$H$12</c:f>
              <c:numCache>
                <c:formatCode>0.00</c:formatCode>
                <c:ptCount val="9"/>
                <c:pt idx="0">
                  <c:v>3.69</c:v>
                </c:pt>
                <c:pt idx="1">
                  <c:v>7.09</c:v>
                </c:pt>
                <c:pt idx="2">
                  <c:v>10.119999999999999</c:v>
                </c:pt>
                <c:pt idx="3">
                  <c:v>14.03</c:v>
                </c:pt>
                <c:pt idx="4">
                  <c:v>18.128</c:v>
                </c:pt>
                <c:pt idx="5">
                  <c:v>21.285</c:v>
                </c:pt>
                <c:pt idx="6">
                  <c:v>24.95</c:v>
                </c:pt>
                <c:pt idx="7">
                  <c:v>28.364999999999998</c:v>
                </c:pt>
                <c:pt idx="8">
                  <c:v>50.3</c:v>
                </c:pt>
              </c:numCache>
            </c:numRef>
          </c:cat>
          <c:val>
            <c:numRef>
              <c:f>'5" Display with shield'!$E$4:$E$11</c:f>
              <c:numCache>
                <c:formatCode>0.0</c:formatCode>
                <c:ptCount val="8"/>
                <c:pt idx="0">
                  <c:v>40</c:v>
                </c:pt>
                <c:pt idx="1">
                  <c:v>39</c:v>
                </c:pt>
                <c:pt idx="2">
                  <c:v>40</c:v>
                </c:pt>
                <c:pt idx="3">
                  <c:v>31</c:v>
                </c:pt>
                <c:pt idx="4">
                  <c:v>30.5</c:v>
                </c:pt>
                <c:pt idx="5">
                  <c:v>26.5</c:v>
                </c:pt>
                <c:pt idx="6">
                  <c:v>16</c:v>
                </c:pt>
                <c:pt idx="7">
                  <c:v>11.5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7A3-470B-8EE5-5A4FA99877FE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'5" Display with shield'!$H$4:$H$12</c:f>
              <c:numCache>
                <c:formatCode>0.00</c:formatCode>
                <c:ptCount val="9"/>
                <c:pt idx="0">
                  <c:v>3.69</c:v>
                </c:pt>
                <c:pt idx="1">
                  <c:v>7.09</c:v>
                </c:pt>
                <c:pt idx="2">
                  <c:v>10.119999999999999</c:v>
                </c:pt>
                <c:pt idx="3">
                  <c:v>14.03</c:v>
                </c:pt>
                <c:pt idx="4">
                  <c:v>18.128</c:v>
                </c:pt>
                <c:pt idx="5">
                  <c:v>21.285</c:v>
                </c:pt>
                <c:pt idx="6">
                  <c:v>24.95</c:v>
                </c:pt>
                <c:pt idx="7">
                  <c:v>28.364999999999998</c:v>
                </c:pt>
                <c:pt idx="8">
                  <c:v>50.3</c:v>
                </c:pt>
              </c:numCache>
            </c:numRef>
          </c:cat>
          <c:val>
            <c:numRef>
              <c:f>'5" Display with shield'!$K$4:$K$12</c:f>
              <c:numCache>
                <c:formatCode>0.0</c:formatCode>
                <c:ptCount val="9"/>
                <c:pt idx="0">
                  <c:v>0.5</c:v>
                </c:pt>
                <c:pt idx="1">
                  <c:v>0.5</c:v>
                </c:pt>
                <c:pt idx="2">
                  <c:v>1</c:v>
                </c:pt>
                <c:pt idx="3">
                  <c:v>2.1999999999999886</c:v>
                </c:pt>
                <c:pt idx="4">
                  <c:v>2.5</c:v>
                </c:pt>
                <c:pt idx="5">
                  <c:v>2.5</c:v>
                </c:pt>
                <c:pt idx="6">
                  <c:v>4.5</c:v>
                </c:pt>
                <c:pt idx="7">
                  <c:v>5.1999999999999886</c:v>
                </c:pt>
                <c:pt idx="8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7A3-470B-8EE5-5A4FA99877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70909440"/>
        <c:axId val="526724800"/>
      </c:lineChart>
      <c:catAx>
        <c:axId val="470909440"/>
        <c:scaling>
          <c:orientation val="minMax"/>
        </c:scaling>
        <c:delete val="0"/>
        <c:axPos val="b"/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6724800"/>
        <c:crosses val="autoZero"/>
        <c:auto val="1"/>
        <c:lblAlgn val="ctr"/>
        <c:lblOffset val="100"/>
        <c:noMultiLvlLbl val="0"/>
      </c:catAx>
      <c:valAx>
        <c:axId val="526724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09094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481012</xdr:colOff>
      <xdr:row>19</xdr:row>
      <xdr:rowOff>185737</xdr:rowOff>
    </xdr:from>
    <xdr:to>
      <xdr:col>9</xdr:col>
      <xdr:colOff>728662</xdr:colOff>
      <xdr:row>34</xdr:row>
      <xdr:rowOff>71437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6078C8D-5884-493F-2776-DA386326B2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1185862</xdr:colOff>
      <xdr:row>19</xdr:row>
      <xdr:rowOff>71437</xdr:rowOff>
    </xdr:from>
    <xdr:to>
      <xdr:col>10</xdr:col>
      <xdr:colOff>595312</xdr:colOff>
      <xdr:row>33</xdr:row>
      <xdr:rowOff>147637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DE0D624A-80A4-75F8-65B2-0D792CB70D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B9C46-20F3-40F8-92C9-B42F41DD2134}">
  <sheetPr>
    <pageSetUpPr fitToPage="1"/>
  </sheetPr>
  <dimension ref="A1:L19"/>
  <sheetViews>
    <sheetView workbookViewId="0">
      <selection activeCell="B20" sqref="B20"/>
    </sheetView>
  </sheetViews>
  <sheetFormatPr defaultRowHeight="14.4" x14ac:dyDescent="0.3"/>
  <cols>
    <col min="1" max="1" width="14.88671875" customWidth="1"/>
    <col min="2" max="2" width="18.5546875" customWidth="1"/>
    <col min="3" max="3" width="12.6640625" customWidth="1"/>
    <col min="4" max="4" width="20.6640625" customWidth="1"/>
    <col min="5" max="5" width="17.6640625" customWidth="1"/>
    <col min="6" max="7" width="9.109375" hidden="1" customWidth="1"/>
    <col min="9" max="9" width="17.33203125" customWidth="1"/>
    <col min="10" max="10" width="12.5546875" customWidth="1"/>
  </cols>
  <sheetData>
    <row r="1" spans="1:12" x14ac:dyDescent="0.3">
      <c r="A1" s="16" t="s">
        <v>0</v>
      </c>
      <c r="B1" s="16"/>
      <c r="C1" s="16"/>
      <c r="D1" s="16"/>
      <c r="E1" s="16"/>
      <c r="F1" s="16"/>
      <c r="G1" s="17"/>
      <c r="H1" s="18" t="s">
        <v>14</v>
      </c>
      <c r="I1" s="16"/>
      <c r="J1" s="16"/>
      <c r="K1" s="17"/>
      <c r="L1" s="1"/>
    </row>
    <row r="2" spans="1:12" ht="43.2" x14ac:dyDescent="0.3">
      <c r="A2" s="1" t="s">
        <v>16</v>
      </c>
      <c r="B2" s="19" t="s">
        <v>6</v>
      </c>
      <c r="C2" s="19"/>
      <c r="D2" s="3" t="s">
        <v>3</v>
      </c>
      <c r="E2" s="7" t="s">
        <v>5</v>
      </c>
      <c r="G2" s="4"/>
      <c r="H2" s="9" t="s">
        <v>16</v>
      </c>
      <c r="I2" s="19" t="s">
        <v>17</v>
      </c>
      <c r="J2" s="19"/>
      <c r="K2" s="2" t="s">
        <v>19</v>
      </c>
    </row>
    <row r="3" spans="1:12" x14ac:dyDescent="0.3">
      <c r="A3" s="1" t="s">
        <v>2</v>
      </c>
      <c r="B3" s="1" t="s">
        <v>1</v>
      </c>
      <c r="C3" s="1" t="s">
        <v>13</v>
      </c>
      <c r="D3" s="1" t="s">
        <v>4</v>
      </c>
      <c r="E3" s="8" t="s">
        <v>4</v>
      </c>
      <c r="G3" s="4"/>
      <c r="H3" s="9" t="s">
        <v>2</v>
      </c>
      <c r="I3" s="1" t="s">
        <v>1</v>
      </c>
      <c r="J3" s="1" t="s">
        <v>18</v>
      </c>
      <c r="K3" s="2" t="s">
        <v>4</v>
      </c>
    </row>
    <row r="4" spans="1:12" x14ac:dyDescent="0.3">
      <c r="A4" s="6">
        <v>3.55</v>
      </c>
      <c r="B4" s="6">
        <v>0.8</v>
      </c>
      <c r="C4" s="5">
        <v>-109</v>
      </c>
      <c r="D4" s="1">
        <v>19</v>
      </c>
      <c r="E4" s="8">
        <f t="shared" ref="E4:E10" si="0">174+C4-25</f>
        <v>40</v>
      </c>
      <c r="G4" s="4"/>
      <c r="H4" s="10">
        <v>3.69</v>
      </c>
      <c r="I4" s="11">
        <v>0.06</v>
      </c>
      <c r="J4" s="12">
        <v>-131.5</v>
      </c>
      <c r="K4" s="13">
        <f>174+J4-36.5</f>
        <v>6</v>
      </c>
    </row>
    <row r="5" spans="1:12" x14ac:dyDescent="0.3">
      <c r="A5" s="6">
        <v>7.0469999999999997</v>
      </c>
      <c r="B5" s="6">
        <v>0.64</v>
      </c>
      <c r="C5" s="5">
        <v>-110</v>
      </c>
      <c r="D5" s="1">
        <v>23</v>
      </c>
      <c r="E5" s="8">
        <f t="shared" si="0"/>
        <v>39</v>
      </c>
      <c r="G5" s="4"/>
      <c r="H5" s="10">
        <v>7.09</v>
      </c>
      <c r="I5" s="11">
        <v>0.13</v>
      </c>
      <c r="J5" s="12">
        <v>-125</v>
      </c>
      <c r="K5" s="13">
        <f t="shared" ref="K5:K12" si="1">174+J5-36.5</f>
        <v>12.5</v>
      </c>
    </row>
    <row r="6" spans="1:12" x14ac:dyDescent="0.3">
      <c r="A6" s="6">
        <v>10.125</v>
      </c>
      <c r="B6" s="6">
        <v>0.8</v>
      </c>
      <c r="C6" s="5">
        <v>-109</v>
      </c>
      <c r="D6" s="1">
        <v>24</v>
      </c>
      <c r="E6" s="8">
        <f t="shared" si="0"/>
        <v>40</v>
      </c>
      <c r="G6" s="4"/>
      <c r="H6" s="10">
        <v>10.119999999999999</v>
      </c>
      <c r="I6" s="11">
        <v>0.1</v>
      </c>
      <c r="J6" s="12">
        <v>-127</v>
      </c>
      <c r="K6" s="13">
        <f t="shared" si="1"/>
        <v>10.5</v>
      </c>
    </row>
    <row r="7" spans="1:12" x14ac:dyDescent="0.3">
      <c r="A7" s="6">
        <v>14.051</v>
      </c>
      <c r="B7" s="6">
        <v>0.28000000000000003</v>
      </c>
      <c r="C7" s="5">
        <v>-118</v>
      </c>
      <c r="D7" s="1">
        <v>15</v>
      </c>
      <c r="E7" s="8">
        <f t="shared" si="0"/>
        <v>31</v>
      </c>
      <c r="G7" s="4"/>
      <c r="H7" s="10">
        <v>14.03</v>
      </c>
      <c r="I7" s="11">
        <v>0.12</v>
      </c>
      <c r="J7" s="12">
        <v>-125.5</v>
      </c>
      <c r="K7" s="13">
        <f t="shared" si="1"/>
        <v>12</v>
      </c>
    </row>
    <row r="8" spans="1:12" x14ac:dyDescent="0.3">
      <c r="A8" s="6">
        <v>18.100000000000001</v>
      </c>
      <c r="B8" s="6">
        <v>0.27</v>
      </c>
      <c r="C8" s="5">
        <v>-118.5</v>
      </c>
      <c r="D8" s="1">
        <v>8</v>
      </c>
      <c r="E8" s="8">
        <f t="shared" si="0"/>
        <v>30.5</v>
      </c>
      <c r="G8" s="4"/>
      <c r="H8" s="10">
        <v>18.128</v>
      </c>
      <c r="I8" s="11">
        <v>7.5999999999999998E-2</v>
      </c>
      <c r="J8" s="12">
        <v>-129.5</v>
      </c>
      <c r="K8" s="13">
        <f t="shared" si="1"/>
        <v>8</v>
      </c>
    </row>
    <row r="9" spans="1:12" x14ac:dyDescent="0.3">
      <c r="A9" s="6">
        <v>21.2</v>
      </c>
      <c r="B9" s="6">
        <v>0.17</v>
      </c>
      <c r="C9" s="5">
        <v>-122.5</v>
      </c>
      <c r="D9" s="1">
        <v>6</v>
      </c>
      <c r="E9" s="8">
        <f t="shared" si="0"/>
        <v>26.5</v>
      </c>
      <c r="G9" s="4"/>
      <c r="H9" s="10">
        <v>21.285</v>
      </c>
      <c r="I9" s="11">
        <v>7.4999999999999997E-2</v>
      </c>
      <c r="J9" s="12">
        <v>-129.5</v>
      </c>
      <c r="K9" s="13">
        <f t="shared" si="1"/>
        <v>8</v>
      </c>
    </row>
    <row r="10" spans="1:12" x14ac:dyDescent="0.3">
      <c r="A10" s="6">
        <v>24.9</v>
      </c>
      <c r="B10" s="6">
        <v>0.05</v>
      </c>
      <c r="C10" s="5">
        <v>-133</v>
      </c>
      <c r="D10" s="1">
        <v>3</v>
      </c>
      <c r="E10" s="8">
        <f t="shared" si="0"/>
        <v>16</v>
      </c>
      <c r="G10" s="4"/>
      <c r="H10" s="10">
        <v>24.95</v>
      </c>
      <c r="I10" s="11">
        <v>0.48</v>
      </c>
      <c r="J10" s="12">
        <v>-113</v>
      </c>
      <c r="K10" s="13">
        <f t="shared" si="1"/>
        <v>24.5</v>
      </c>
    </row>
    <row r="11" spans="1:12" x14ac:dyDescent="0.3">
      <c r="A11" s="6">
        <v>29</v>
      </c>
      <c r="B11" s="6">
        <v>0.03</v>
      </c>
      <c r="C11" s="5">
        <v>-137.5</v>
      </c>
      <c r="D11" s="1">
        <v>0</v>
      </c>
      <c r="E11" s="8">
        <f>174+C11-25</f>
        <v>11.5</v>
      </c>
      <c r="G11" s="4"/>
      <c r="H11" s="10">
        <v>28.364999999999998</v>
      </c>
      <c r="I11" s="11">
        <v>0.68</v>
      </c>
      <c r="J11" s="12">
        <v>-111</v>
      </c>
      <c r="K11" s="13">
        <f t="shared" si="1"/>
        <v>26.5</v>
      </c>
    </row>
    <row r="12" spans="1:12" x14ac:dyDescent="0.3">
      <c r="A12" s="6"/>
      <c r="B12" s="6"/>
      <c r="C12" s="5"/>
      <c r="D12" s="1"/>
      <c r="E12" s="8"/>
      <c r="G12" s="4"/>
      <c r="H12" s="10">
        <v>50.3</v>
      </c>
      <c r="I12" s="11">
        <v>2.7</v>
      </c>
      <c r="J12" s="12">
        <v>-99</v>
      </c>
      <c r="K12" s="13">
        <f t="shared" si="1"/>
        <v>38.5</v>
      </c>
    </row>
    <row r="13" spans="1:12" x14ac:dyDescent="0.3">
      <c r="E13" s="4"/>
      <c r="G13" s="4"/>
      <c r="H13" s="14"/>
      <c r="K13" s="4"/>
    </row>
    <row r="14" spans="1:12" x14ac:dyDescent="0.3">
      <c r="A14" t="s">
        <v>7</v>
      </c>
      <c r="E14" s="4"/>
      <c r="G14" s="4"/>
      <c r="H14" s="14" t="s">
        <v>7</v>
      </c>
      <c r="K14" s="4"/>
    </row>
    <row r="15" spans="1:12" x14ac:dyDescent="0.3">
      <c r="A15" t="s">
        <v>12</v>
      </c>
      <c r="E15" s="4"/>
      <c r="G15" s="4"/>
      <c r="H15" s="14" t="s">
        <v>20</v>
      </c>
      <c r="K15" s="4"/>
    </row>
    <row r="16" spans="1:12" x14ac:dyDescent="0.3">
      <c r="A16" t="s">
        <v>8</v>
      </c>
      <c r="E16" s="4"/>
      <c r="G16" s="4"/>
      <c r="H16" s="14" t="s">
        <v>8</v>
      </c>
      <c r="K16" s="4"/>
    </row>
    <row r="17" spans="1:11" x14ac:dyDescent="0.3">
      <c r="A17" t="s">
        <v>9</v>
      </c>
      <c r="E17" s="4"/>
      <c r="G17" s="4"/>
      <c r="H17" s="14" t="s">
        <v>15</v>
      </c>
      <c r="K17" s="4"/>
    </row>
    <row r="18" spans="1:11" x14ac:dyDescent="0.3">
      <c r="A18" t="s">
        <v>10</v>
      </c>
      <c r="E18" s="4"/>
      <c r="G18" s="4"/>
      <c r="H18" s="14"/>
      <c r="K18" s="4"/>
    </row>
    <row r="19" spans="1:11" x14ac:dyDescent="0.3">
      <c r="A19" t="s">
        <v>21</v>
      </c>
      <c r="E19" s="4"/>
      <c r="G19" s="4"/>
      <c r="H19" s="14"/>
      <c r="K19" s="4"/>
    </row>
  </sheetData>
  <mergeCells count="4">
    <mergeCell ref="A1:G1"/>
    <mergeCell ref="B2:C2"/>
    <mergeCell ref="I2:J2"/>
    <mergeCell ref="H1:K1"/>
  </mergeCells>
  <pageMargins left="0.7" right="0.7" top="0.75" bottom="0.75" header="0.3" footer="0.3"/>
  <pageSetup scale="92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028B0B-3F14-4EBD-8E5C-00356D32DF28}">
  <dimension ref="A1:L19"/>
  <sheetViews>
    <sheetView tabSelected="1" workbookViewId="0">
      <selection activeCell="J19" sqref="J19"/>
    </sheetView>
  </sheetViews>
  <sheetFormatPr defaultRowHeight="14.4" x14ac:dyDescent="0.3"/>
  <cols>
    <col min="1" max="1" width="14.88671875" customWidth="1"/>
    <col min="2" max="2" width="18.5546875" customWidth="1"/>
    <col min="3" max="3" width="12.6640625" customWidth="1"/>
    <col min="4" max="4" width="20.6640625" customWidth="1"/>
    <col min="5" max="5" width="17.6640625" customWidth="1"/>
    <col min="6" max="7" width="9.109375" hidden="1" customWidth="1"/>
    <col min="9" max="9" width="17.33203125" customWidth="1"/>
    <col min="10" max="10" width="12.5546875" customWidth="1"/>
  </cols>
  <sheetData>
    <row r="1" spans="1:12" x14ac:dyDescent="0.3">
      <c r="A1" s="16" t="s">
        <v>0</v>
      </c>
      <c r="B1" s="16"/>
      <c r="C1" s="16"/>
      <c r="D1" s="16"/>
      <c r="E1" s="16"/>
      <c r="F1" s="16"/>
      <c r="G1" s="17"/>
      <c r="H1" s="18" t="s">
        <v>14</v>
      </c>
      <c r="I1" s="16"/>
      <c r="J1" s="16"/>
      <c r="K1" s="17"/>
      <c r="L1" s="1"/>
    </row>
    <row r="2" spans="1:12" ht="43.2" x14ac:dyDescent="0.3">
      <c r="A2" s="1" t="s">
        <v>16</v>
      </c>
      <c r="B2" s="19" t="s">
        <v>6</v>
      </c>
      <c r="C2" s="19"/>
      <c r="D2" s="3" t="s">
        <v>3</v>
      </c>
      <c r="E2" s="7" t="s">
        <v>5</v>
      </c>
      <c r="G2" s="4"/>
      <c r="H2" s="9" t="s">
        <v>16</v>
      </c>
      <c r="I2" s="19" t="s">
        <v>17</v>
      </c>
      <c r="J2" s="19"/>
      <c r="K2" s="2" t="s">
        <v>19</v>
      </c>
    </row>
    <row r="3" spans="1:12" x14ac:dyDescent="0.3">
      <c r="A3" s="1" t="s">
        <v>2</v>
      </c>
      <c r="B3" s="1" t="s">
        <v>1</v>
      </c>
      <c r="C3" s="1" t="s">
        <v>13</v>
      </c>
      <c r="D3" s="1" t="s">
        <v>4</v>
      </c>
      <c r="E3" s="8" t="s">
        <v>4</v>
      </c>
      <c r="G3" s="4"/>
      <c r="H3" s="9" t="s">
        <v>2</v>
      </c>
      <c r="I3" s="1" t="s">
        <v>1</v>
      </c>
      <c r="J3" s="1" t="s">
        <v>18</v>
      </c>
      <c r="K3" s="2" t="s">
        <v>4</v>
      </c>
    </row>
    <row r="4" spans="1:12" x14ac:dyDescent="0.3">
      <c r="A4" s="6">
        <v>3.55</v>
      </c>
      <c r="B4" s="6">
        <v>0.8</v>
      </c>
      <c r="C4" s="5">
        <v>-109</v>
      </c>
      <c r="D4" s="1">
        <v>19</v>
      </c>
      <c r="E4" s="8">
        <f t="shared" ref="E4:E10" si="0">174+C4-25</f>
        <v>40</v>
      </c>
      <c r="G4" s="4"/>
      <c r="H4" s="10">
        <v>3.69</v>
      </c>
      <c r="I4" s="15">
        <v>3.2000000000000001E-2</v>
      </c>
      <c r="J4" s="12">
        <v>-137</v>
      </c>
      <c r="K4" s="13">
        <f>174+J4-36.5</f>
        <v>0.5</v>
      </c>
    </row>
    <row r="5" spans="1:12" x14ac:dyDescent="0.3">
      <c r="A5" s="6">
        <v>7.0469999999999997</v>
      </c>
      <c r="B5" s="6">
        <v>0.64</v>
      </c>
      <c r="C5" s="5">
        <v>-110</v>
      </c>
      <c r="D5" s="1">
        <v>23</v>
      </c>
      <c r="E5" s="8">
        <f t="shared" si="0"/>
        <v>39</v>
      </c>
      <c r="G5" s="4"/>
      <c r="H5" s="10">
        <v>7.09</v>
      </c>
      <c r="I5" s="15">
        <v>3.2000000000000001E-2</v>
      </c>
      <c r="J5" s="12">
        <v>-137</v>
      </c>
      <c r="K5" s="13">
        <f t="shared" ref="K5:K12" si="1">174+J5-36.5</f>
        <v>0.5</v>
      </c>
    </row>
    <row r="6" spans="1:12" x14ac:dyDescent="0.3">
      <c r="A6" s="6">
        <v>10.125</v>
      </c>
      <c r="B6" s="6">
        <v>0.8</v>
      </c>
      <c r="C6" s="5">
        <v>-109</v>
      </c>
      <c r="D6" s="1">
        <v>24</v>
      </c>
      <c r="E6" s="8">
        <f t="shared" si="0"/>
        <v>40</v>
      </c>
      <c r="G6" s="4"/>
      <c r="H6" s="10">
        <v>10.119999999999999</v>
      </c>
      <c r="I6" s="15">
        <v>3.4000000000000002E-2</v>
      </c>
      <c r="J6" s="12">
        <v>-136.5</v>
      </c>
      <c r="K6" s="13">
        <f t="shared" si="1"/>
        <v>1</v>
      </c>
    </row>
    <row r="7" spans="1:12" x14ac:dyDescent="0.3">
      <c r="A7" s="6">
        <v>14.051</v>
      </c>
      <c r="B7" s="6">
        <v>0.28000000000000003</v>
      </c>
      <c r="C7" s="5">
        <v>-118</v>
      </c>
      <c r="D7" s="1">
        <v>15</v>
      </c>
      <c r="E7" s="8">
        <f t="shared" si="0"/>
        <v>31</v>
      </c>
      <c r="G7" s="4"/>
      <c r="H7" s="10">
        <v>14.03</v>
      </c>
      <c r="I7" s="15">
        <v>3.7999999999999999E-2</v>
      </c>
      <c r="J7" s="12">
        <v>-135.30000000000001</v>
      </c>
      <c r="K7" s="13">
        <f t="shared" si="1"/>
        <v>2.1999999999999886</v>
      </c>
    </row>
    <row r="8" spans="1:12" x14ac:dyDescent="0.3">
      <c r="A8" s="6">
        <v>18.100000000000001</v>
      </c>
      <c r="B8" s="6">
        <v>0.27</v>
      </c>
      <c r="C8" s="5">
        <v>-118.5</v>
      </c>
      <c r="D8" s="1">
        <v>8</v>
      </c>
      <c r="E8" s="8">
        <f t="shared" si="0"/>
        <v>30.5</v>
      </c>
      <c r="G8" s="4"/>
      <c r="H8" s="10">
        <v>18.128</v>
      </c>
      <c r="I8" s="15">
        <v>0.04</v>
      </c>
      <c r="J8" s="12">
        <v>-135</v>
      </c>
      <c r="K8" s="13">
        <f t="shared" si="1"/>
        <v>2.5</v>
      </c>
    </row>
    <row r="9" spans="1:12" x14ac:dyDescent="0.3">
      <c r="A9" s="6">
        <v>21.2</v>
      </c>
      <c r="B9" s="6">
        <v>0.17</v>
      </c>
      <c r="C9" s="5">
        <v>-122.5</v>
      </c>
      <c r="D9" s="1">
        <v>6</v>
      </c>
      <c r="E9" s="8">
        <f t="shared" si="0"/>
        <v>26.5</v>
      </c>
      <c r="G9" s="4"/>
      <c r="H9" s="10">
        <v>21.285</v>
      </c>
      <c r="I9" s="15">
        <v>0.04</v>
      </c>
      <c r="J9" s="12">
        <v>-135</v>
      </c>
      <c r="K9" s="13">
        <f t="shared" si="1"/>
        <v>2.5</v>
      </c>
    </row>
    <row r="10" spans="1:12" x14ac:dyDescent="0.3">
      <c r="A10" s="6">
        <v>24.9</v>
      </c>
      <c r="B10" s="6">
        <v>0.05</v>
      </c>
      <c r="C10" s="5">
        <v>-133</v>
      </c>
      <c r="D10" s="1">
        <v>3</v>
      </c>
      <c r="E10" s="8">
        <f t="shared" si="0"/>
        <v>16</v>
      </c>
      <c r="G10" s="4"/>
      <c r="H10" s="10">
        <v>24.95</v>
      </c>
      <c r="I10" s="15">
        <v>5.0999999999999997E-2</v>
      </c>
      <c r="J10" s="12">
        <v>-133</v>
      </c>
      <c r="K10" s="13">
        <f t="shared" si="1"/>
        <v>4.5</v>
      </c>
    </row>
    <row r="11" spans="1:12" x14ac:dyDescent="0.3">
      <c r="A11" s="6">
        <v>29</v>
      </c>
      <c r="B11" s="6">
        <v>0.03</v>
      </c>
      <c r="C11" s="5">
        <v>-137.5</v>
      </c>
      <c r="D11" s="1">
        <v>0</v>
      </c>
      <c r="E11" s="8">
        <f>174+C11-25</f>
        <v>11.5</v>
      </c>
      <c r="G11" s="4"/>
      <c r="H11" s="10">
        <v>28.364999999999998</v>
      </c>
      <c r="I11" s="15">
        <v>5.3999999999999999E-2</v>
      </c>
      <c r="J11" s="12">
        <v>-132.30000000000001</v>
      </c>
      <c r="K11" s="13">
        <f t="shared" si="1"/>
        <v>5.1999999999999886</v>
      </c>
    </row>
    <row r="12" spans="1:12" x14ac:dyDescent="0.3">
      <c r="A12" s="6"/>
      <c r="B12" s="6"/>
      <c r="C12" s="5"/>
      <c r="D12" s="1"/>
      <c r="E12" s="8"/>
      <c r="G12" s="4"/>
      <c r="H12" s="10">
        <v>50.3</v>
      </c>
      <c r="I12" s="15">
        <v>0.3</v>
      </c>
      <c r="J12" s="12">
        <v>-117.5</v>
      </c>
      <c r="K12" s="13">
        <f t="shared" si="1"/>
        <v>20</v>
      </c>
    </row>
    <row r="13" spans="1:12" x14ac:dyDescent="0.3">
      <c r="E13" s="4"/>
      <c r="G13" s="4"/>
      <c r="H13" s="14"/>
      <c r="K13" s="4"/>
    </row>
    <row r="14" spans="1:12" x14ac:dyDescent="0.3">
      <c r="A14" t="s">
        <v>7</v>
      </c>
      <c r="E14" s="4"/>
      <c r="G14" s="4"/>
      <c r="H14" s="14" t="s">
        <v>7</v>
      </c>
      <c r="K14" s="4"/>
    </row>
    <row r="15" spans="1:12" x14ac:dyDescent="0.3">
      <c r="A15" t="s">
        <v>12</v>
      </c>
      <c r="E15" s="4"/>
      <c r="G15" s="4"/>
      <c r="H15" s="14" t="s">
        <v>20</v>
      </c>
      <c r="K15" s="4"/>
    </row>
    <row r="16" spans="1:12" x14ac:dyDescent="0.3">
      <c r="A16" t="s">
        <v>8</v>
      </c>
      <c r="E16" s="4"/>
      <c r="G16" s="4"/>
      <c r="H16" s="14" t="s">
        <v>8</v>
      </c>
      <c r="K16" s="4"/>
    </row>
    <row r="17" spans="1:11" x14ac:dyDescent="0.3">
      <c r="A17" t="s">
        <v>9</v>
      </c>
      <c r="E17" s="4"/>
      <c r="G17" s="4"/>
      <c r="H17" s="14" t="s">
        <v>15</v>
      </c>
      <c r="K17" s="4"/>
    </row>
    <row r="18" spans="1:11" x14ac:dyDescent="0.3">
      <c r="A18" t="s">
        <v>10</v>
      </c>
      <c r="E18" s="4"/>
      <c r="G18" s="4"/>
      <c r="H18" s="14"/>
      <c r="K18" s="4"/>
    </row>
    <row r="19" spans="1:11" x14ac:dyDescent="0.3">
      <c r="A19" t="s">
        <v>11</v>
      </c>
      <c r="E19" s="4"/>
      <c r="G19" s="4"/>
      <c r="H19" s="14"/>
      <c r="K19" s="4"/>
    </row>
  </sheetData>
  <mergeCells count="4">
    <mergeCell ref="A1:G1"/>
    <mergeCell ref="H1:K1"/>
    <mergeCell ref="B2:C2"/>
    <mergeCell ref="I2:J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7" Display; no shield</vt:lpstr>
      <vt:lpstr>5" Display with shield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or Susan Lundberg</dc:creator>
  <cp:lastModifiedBy>William Schmidt</cp:lastModifiedBy>
  <cp:lastPrinted>2025-01-30T13:56:25Z</cp:lastPrinted>
  <dcterms:created xsi:type="dcterms:W3CDTF">2025-01-29T22:48:59Z</dcterms:created>
  <dcterms:modified xsi:type="dcterms:W3CDTF">2026-08-02T03:34:00Z</dcterms:modified>
</cp:coreProperties>
</file>